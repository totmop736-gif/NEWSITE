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itot\Desktop\happy_сайт\Happybike_site\"/>
    </mc:Choice>
  </mc:AlternateContent>
  <xr:revisionPtr revIDLastSave="0" documentId="13_ncr:1_{9D5C2AB5-AF33-4D4E-B351-82B1B9E514E0}" xr6:coauthVersionLast="47" xr6:coauthVersionMax="47" xr10:uidLastSave="{00000000-0000-0000-0000-000000000000}"/>
  <bookViews>
    <workbookView xWindow="780" yWindow="780" windowWidth="2377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E4" i="1"/>
  <c r="G4" i="1"/>
  <c r="I4" i="1" s="1"/>
  <c r="G3" i="1"/>
  <c r="I3" i="1" s="1"/>
  <c r="G2" i="1"/>
  <c r="I2" i="1" s="1"/>
</calcChain>
</file>

<file path=xl/sharedStrings.xml><?xml version="1.0" encoding="utf-8"?>
<sst xmlns="http://schemas.openxmlformats.org/spreadsheetml/2006/main" count="17" uniqueCount="17">
  <si>
    <t>ФИО</t>
  </si>
  <si>
    <t xml:space="preserve">Дата начала аренды </t>
  </si>
  <si>
    <t>Дата до которой оплачено</t>
  </si>
  <si>
    <t>Кодовое слово</t>
  </si>
  <si>
    <t>сумма недельной оплаты</t>
  </si>
  <si>
    <t>B-21231231</t>
  </si>
  <si>
    <t>Стрекоза</t>
  </si>
  <si>
    <t xml:space="preserve">Сколько недель прошло с момента взятия в аренду </t>
  </si>
  <si>
    <t xml:space="preserve">сумма которая оплачена </t>
  </si>
  <si>
    <t xml:space="preserve"> к оплате</t>
  </si>
  <si>
    <t>Номер</t>
  </si>
  <si>
    <t>Иванов Эдуард Алексеевич</t>
  </si>
  <si>
    <t>вапвпвапва</t>
  </si>
  <si>
    <t>Шмелёв Артём Дмитриевич</t>
  </si>
  <si>
    <t>Minako Titan</t>
  </si>
  <si>
    <t>Minako Monster</t>
  </si>
  <si>
    <t>Иванов Иван Иванович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</si>
</sst>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H3" sqref="H3"/>
    </sheetView>
  </sheetViews>
  <sheetFormatPr defaultRowHeight="15" x14ac:dyDescent="0.25"/>
  <cols>
    <col min="1" max="1" width="40.28515625" customWidth="1"/>
    <col min="2" max="2" width="19.85546875" customWidth="1"/>
    <col min="3" max="3" width="21" customWidth="1"/>
    <col min="4" max="4" width="20.42578125" customWidth="1"/>
    <col min="5" max="5" width="32.28515625" customWidth="1"/>
    <col min="6" max="6" width="22.42578125" customWidth="1"/>
    <col min="7" max="7" width="27" customWidth="1"/>
    <col min="8" max="8" width="31.42578125" customWidth="1"/>
    <col min="9" max="9" width="48.28515625" customWidth="1"/>
  </cols>
  <sheetData>
    <row r="1" spans="1:9" s="2" customFormat="1" ht="59.25" customHeight="1" x14ac:dyDescent="0.25">
      <c r="A1" s="2" t="s">
        <v>0</v>
      </c>
      <c r="B1" s="2" t="s">
        <v>10</v>
      </c>
      <c r="C1" s="2" t="s">
        <v>3</v>
      </c>
      <c r="D1" s="2" t="s">
        <v>1</v>
      </c>
      <c r="E1" s="2" t="s">
        <v>2</v>
      </c>
      <c r="F1" s="2" t="s">
        <v>4</v>
      </c>
      <c r="G1" s="2" t="s">
        <v>7</v>
      </c>
      <c r="H1" s="2" t="s">
        <v>8</v>
      </c>
      <c r="I1" s="2" t="s">
        <v>9</v>
      </c>
    </row>
    <row r="2" spans="1:9" x14ac:dyDescent="0.25">
      <c r="A2" t="s">
        <v>16</v>
      </c>
      <c r="B2" t="s">
        <v>5</v>
      </c>
      <c r="C2" t="s">
        <v>6</v>
      </c>
      <c r="D2" s="1">
        <v>46048</v>
      </c>
      <c r="E2" s="1">
        <f xml:space="preserve"> (D2 + (H2 / F2) * 7) -1</f>
        <v>46222</v>
      </c>
      <c r="F2">
        <v>3000</v>
      </c>
      <c r="G2">
        <f ca="1">CEILING((TODAY()-D2)/7,1)</f>
        <v>24</v>
      </c>
      <c r="H2">
        <v>75000</v>
      </c>
      <c r="I2">
        <f ca="1">((F2)*(G2))-(H2)</f>
        <v>-3000</v>
      </c>
    </row>
    <row r="3" spans="1:9" x14ac:dyDescent="0.25">
      <c r="A3" t="s">
        <v>11</v>
      </c>
      <c r="B3" t="s">
        <v>14</v>
      </c>
      <c r="C3" t="s">
        <v>12</v>
      </c>
      <c r="D3" s="1">
        <v>46020</v>
      </c>
      <c r="E3" s="1">
        <f xml:space="preserve"> (D3 + (H3 / F3) * 7) -1</f>
        <v>46215</v>
      </c>
      <c r="F3">
        <v>3000</v>
      </c>
      <c r="G3">
        <f ca="1">CEILING((TODAY()-D3)/7,1)</f>
        <v>28</v>
      </c>
      <c r="H3">
        <v>84000</v>
      </c>
      <c r="I3">
        <f ca="1">((F3)*(G3))-(H3)</f>
        <v>0</v>
      </c>
    </row>
    <row r="4" spans="1:9" x14ac:dyDescent="0.25">
      <c r="A4" t="s">
        <v>13</v>
      </c>
      <c r="B4" t="s">
        <v>15</v>
      </c>
      <c r="D4" s="1">
        <v>45992</v>
      </c>
      <c r="E4" s="1">
        <f t="shared" ref="E4" si="0" xml:space="preserve"> (D4 + (H4 / F4) * 7) -1</f>
        <v>46106.5</v>
      </c>
      <c r="F4">
        <v>2000</v>
      </c>
      <c r="G4">
        <f ca="1">CEILING((TODAY()-D4)/7,1)</f>
        <v>32</v>
      </c>
      <c r="H4">
        <v>33000</v>
      </c>
      <c r="I4">
        <f ca="1">((F4)*(G4))-(H4)</f>
        <v>31000</v>
      </c>
    </row>
    <row r="5" spans="1:9" x14ac:dyDescent="0.25">
      <c r="D5" s="1"/>
      <c r="E5" s="1"/>
    </row>
    <row r="6" spans="1:9" x14ac:dyDescent="0.25">
      <c r="E6" s="1"/>
    </row>
    <row r="7" spans="1:9" x14ac:dyDescent="0.25">
      <c r="D7" s="1"/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Шамбер</dc:creator>
  <cp:lastModifiedBy>Алексей Шамбер</cp:lastModifiedBy>
  <dcterms:created xsi:type="dcterms:W3CDTF">2015-06-05T18:17:20Z</dcterms:created>
  <dcterms:modified xsi:type="dcterms:W3CDTF">2026-07-07T20:12:10Z</dcterms:modified>
</cp:coreProperties>
</file>